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E:\18-09-19 Document structure\personal\Programming\PublicCodeLibrary\VBA\"/>
    </mc:Choice>
  </mc:AlternateContent>
  <xr:revisionPtr revIDLastSave="0" documentId="13_ncr:1_{810DCD15-8B7E-4183-9BFF-187AA0AD0085}" xr6:coauthVersionLast="40" xr6:coauthVersionMax="40" xr10:uidLastSave="{00000000-0000-0000-0000-000000000000}"/>
  <bookViews>
    <workbookView xWindow="-120" yWindow="-120" windowWidth="24240" windowHeight="13740" activeTab="1" xr2:uid="{00000000-000D-0000-FFFF-FFFF00000000}"/>
  </bookViews>
  <sheets>
    <sheet name="workingExample" sheetId="8" r:id="rId1"/>
    <sheet name="Graphs" sheetId="10" r:id="rId2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8" l="1"/>
</calcChain>
</file>

<file path=xl/sharedStrings.xml><?xml version="1.0" encoding="utf-8"?>
<sst xmlns="http://schemas.openxmlformats.org/spreadsheetml/2006/main" count="27" uniqueCount="23">
  <si>
    <t>Year</t>
  </si>
  <si>
    <t>Type</t>
  </si>
  <si>
    <t>%</t>
  </si>
  <si>
    <t>Digit</t>
  </si>
  <si>
    <t>number</t>
  </si>
  <si>
    <t>Array(Year,Euros)</t>
  </si>
  <si>
    <t>Array of Number[year, costs of contract]</t>
  </si>
  <si>
    <t>Number[Sum(WTG Yearly Opex)]</t>
  </si>
  <si>
    <t>Number(Sum(BOP Yearly Opex)]</t>
  </si>
  <si>
    <t>End year</t>
  </si>
  <si>
    <t>Yearly discount factor</t>
  </si>
  <si>
    <t>array(year)</t>
  </si>
  <si>
    <t>Yearly index factor</t>
  </si>
  <si>
    <t>Sum of the total project costs</t>
  </si>
  <si>
    <t>(Bold means it is user input)</t>
  </si>
  <si>
    <t>Operations starting year</t>
  </si>
  <si>
    <t>discountFactor</t>
  </si>
  <si>
    <t>priceIndexFactor</t>
  </si>
  <si>
    <t>Discount date(=current year)</t>
  </si>
  <si>
    <t>referenceIndexDate</t>
  </si>
  <si>
    <t>Yearly costs by contract(USER INPUT)</t>
  </si>
  <si>
    <t>Yearly indexed costs</t>
  </si>
  <si>
    <t>Yearly indexed and discounted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</si>
</sst>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 &quot;€&quot;\ * #,##0_ ;_ &quot;€&quot;\ * \-#,##0_ ;_ &quot;€&quot;\ * &quot;-&quot;_ ;_ @_ "/>
    <numFmt numFmtId="165" formatCode="_ * #,##0_ ;_ * \-#,##0_ ;_ * &quot;-&quot;_ ;_ @_ 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0%;\-\ 0%;\-"/>
    <numFmt numFmtId="169" formatCode="_-&quot;€&quot;* #,##0.00_-;\-&quot;€&quot;* #,##0.00_-;_-&quot;€&quot;* &quot;-&quot;??_-;_-@_-"/>
    <numFmt numFmtId="170" formatCode="#,##0;\-\ #,##0;\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143654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8" fontId="1" fillId="0" borderId="0" applyFont="0" applyFill="0" applyBorder="0">
      <alignment horizontal="right" vertical="center" indent="1"/>
    </xf>
    <xf numFmtId="0" fontId="18" fillId="33" borderId="0" applyNumberFormat="0" applyBorder="0">
      <alignment vertical="center"/>
    </xf>
    <xf numFmtId="169" fontId="1" fillId="0" borderId="0" applyFont="0" applyFill="0" applyBorder="0">
      <alignment horizontal="right" vertical="center" indent="1"/>
    </xf>
    <xf numFmtId="0" fontId="19" fillId="0" borderId="0" applyNumberFormat="0" applyFill="0" applyBorder="0" applyAlignment="0" applyProtection="0"/>
    <xf numFmtId="0" fontId="13" fillId="34" borderId="0" applyNumberFormat="0" applyBorder="0">
      <alignment vertical="center"/>
    </xf>
    <xf numFmtId="0" fontId="18" fillId="35" borderId="0" applyNumberFormat="0" applyBorder="0">
      <alignment vertical="center"/>
    </xf>
  </cellStyleXfs>
  <cellXfs count="7">
    <xf numFmtId="0" fontId="0" fillId="0" borderId="0" xfId="0"/>
    <xf numFmtId="170" fontId="18" fillId="35" borderId="0" xfId="51" applyNumberFormat="1">
      <alignment vertical="center"/>
    </xf>
    <xf numFmtId="1" fontId="0" fillId="0" borderId="0" xfId="0" applyNumberFormat="1"/>
    <xf numFmtId="0" fontId="0" fillId="0" borderId="0" xfId="0" applyNumberFormat="1"/>
    <xf numFmtId="0" fontId="16" fillId="0" borderId="0" xfId="0" applyNumberFormat="1" applyFont="1"/>
    <xf numFmtId="0" fontId="0" fillId="0" borderId="0" xfId="0" applyNumberFormat="1" applyFont="1"/>
    <xf numFmtId="0" fontId="16" fillId="36" borderId="0" xfId="0" applyNumberFormat="1" applyFont="1" applyFill="1"/>
  </cellXfs>
  <cellStyles count="52">
    <cellStyle name="20% - Accent1" xfId="23" builtinId="30" hidden="1"/>
    <cellStyle name="20% - Accent2" xfId="27" builtinId="34" hidden="1"/>
    <cellStyle name="20% - Accent3" xfId="31" builtinId="38" hidden="1"/>
    <cellStyle name="20% - Accent4" xfId="35" builtinId="42" hidden="1"/>
    <cellStyle name="20% - Accent5" xfId="39" builtinId="46" hidden="1"/>
    <cellStyle name="20% - Accent6" xfId="43" builtinId="50" hidden="1"/>
    <cellStyle name="40% - Accent1" xfId="24" builtinId="31" hidden="1"/>
    <cellStyle name="40% - Accent2" xfId="28" builtinId="35" hidden="1"/>
    <cellStyle name="40% - Accent3" xfId="32" builtinId="39" hidden="1"/>
    <cellStyle name="40% - Accent4" xfId="36" builtinId="43" hidden="1"/>
    <cellStyle name="40% - Accent5" xfId="40" builtinId="47" hidden="1"/>
    <cellStyle name="40% - Accent6" xfId="44" builtinId="51" hidden="1"/>
    <cellStyle name="60% - Accent1" xfId="25" builtinId="32" hidden="1"/>
    <cellStyle name="60% - Accent2" xfId="29" builtinId="36" hidden="1"/>
    <cellStyle name="60% - Accent3" xfId="33" builtinId="40" hidden="1"/>
    <cellStyle name="60% - Accent4" xfId="37" builtinId="44" hidden="1"/>
    <cellStyle name="60% - Accent5" xfId="41" builtinId="48" hidden="1"/>
    <cellStyle name="60% - Accent6" xfId="45" builtinId="52" hidden="1"/>
    <cellStyle name="Accent1" xfId="22" builtinId="29" hidden="1"/>
    <cellStyle name="Accent2" xfId="26" builtinId="33" hidden="1"/>
    <cellStyle name="Accent3" xfId="30" builtinId="37" hidden="1"/>
    <cellStyle name="Accent4" xfId="34" builtinId="41" hidden="1"/>
    <cellStyle name="Accent5" xfId="38" builtinId="45" hidden="1"/>
    <cellStyle name="Accent6" xfId="42" builtinId="49" hidden="1"/>
    <cellStyle name="Bad" xfId="11" builtinId="27" hidden="1"/>
    <cellStyle name="Calculation" xfId="15" builtinId="22" hidden="1"/>
    <cellStyle name="Check Cell" xfId="17" builtinId="23" hidden="1"/>
    <cellStyle name="Comma" xfId="1" builtinId="3" hidden="1"/>
    <cellStyle name="Comma [0]" xfId="2" builtinId="6" hidden="1"/>
    <cellStyle name="Currency" xfId="3" builtinId="4" hidden="1"/>
    <cellStyle name="Currency" xfId="48" builtinId="4" customBuiltin="1"/>
    <cellStyle name="Currency [0]" xfId="4" builtinId="7" hidden="1"/>
    <cellStyle name="Explanatory Text" xfId="20" builtinId="53" hidden="1"/>
    <cellStyle name="Followed Hyperlink" xfId="49" builtinId="9" customBuiltin="1"/>
    <cellStyle name="GG_Assumption" xfId="47" xr:uid="{00000000-0005-0000-0000-000023000000}"/>
    <cellStyle name="GG_Tag" xfId="50" hidden="1" xr:uid="{00000000-0005-0000-0000-00002D000000}"/>
    <cellStyle name="GGEB_Assumption" xfId="51" xr:uid="{4043AAAB-B453-4530-93AF-6205D1F7DD3A}"/>
    <cellStyle name="Good" xfId="10" builtinId="26" hidden="1"/>
    <cellStyle name="Heading 1" xfId="6" builtinId="16" hidden="1"/>
    <cellStyle name="Heading 2" xfId="7" builtinId="17" hidden="1"/>
    <cellStyle name="Heading 3" xfId="8" builtinId="18" hidden="1"/>
    <cellStyle name="Heading 4" xfId="9" builtinId="19" hidden="1"/>
    <cellStyle name="Input" xfId="13" builtinId="20" hidden="1"/>
    <cellStyle name="Linked Cell" xfId="16" builtinId="24" hidden="1"/>
    <cellStyle name="Neutral" xfId="12" builtinId="28" hidden="1"/>
    <cellStyle name="Normal" xfId="0" builtinId="0" customBuiltin="1"/>
    <cellStyle name="Note" xfId="19" builtinId="10" hidden="1"/>
    <cellStyle name="Output" xfId="14" builtinId="21" hidden="1"/>
    <cellStyle name="Percent" xfId="46" builtinId="5" customBuiltin="1"/>
    <cellStyle name="Title" xfId="5" builtinId="15" hidden="1"/>
    <cellStyle name="Total" xfId="21" builtinId="25" hidden="1"/>
    <cellStyle name="Warning Text" xfId="18" builtinId="11" hidden="1"/>
  </cellStyles>
  <dxfs count="4">
    <dxf>
      <fill>
        <patternFill>
          <bgColor rgb="FFFAFAFB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rgb="FFF3F3F4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rgb="FFFAFAFB"/>
        </patternFill>
      </fill>
      <border>
        <left style="thick">
          <color theme="0"/>
        </left>
        <right/>
        <top style="thick">
          <color theme="3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color theme="0"/>
      </font>
      <fill>
        <patternFill>
          <bgColor rgb="FF595959"/>
        </patternFill>
      </fill>
      <border diagonalDown="1">
        <left/>
        <right style="thin">
          <color theme="0"/>
        </right>
        <top style="thin">
          <color theme="0"/>
        </top>
        <bottom style="thick">
          <color theme="3"/>
        </bottom>
        <diagonal style="thin">
          <color theme="0"/>
        </diagonal>
        <vertical/>
        <horizontal style="thin">
          <color theme="0"/>
        </horizontal>
      </border>
    </dxf>
  </dxfs>
  <tableStyles count="1" defaultTableStyle="GG_Table" defaultPivotStyle="PivotStyleLight16">
    <tableStyle name="GG_Table" pivot="0" count="4" xr9:uid="{00000000-0011-0000-FFFF-FFFF00000000}">
      <tableStyleElement type="headerRow" dxfId="3"/>
      <tableStyleElement type="totalRow" dxfId="2"/>
      <tableStyleElement type="firstRowStripe" dxfId="1"/>
      <tableStyleElement type="secondRowStripe" dxfId="0"/>
    </tableStyle>
  </tableStyles>
  <colors>
    <mruColors>
      <color rgb="FFCDE1F3"/>
      <color rgb="FFFAFAFB"/>
      <color rgb="FF595959"/>
      <color rgb="FFF3F3F4"/>
      <color rgb="FF006B96"/>
      <color rgb="FFC4421B"/>
      <color rgb="FF143654"/>
      <color rgb="FFFFFFC1"/>
      <color rgb="FFEBBC96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Change 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workingExample!$A$12</c:f>
              <c:strCache>
                <c:ptCount val="1"/>
                <c:pt idx="0">
                  <c:v>Yearly indexed and discounted costs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workingExample!$C$1:$R$1</c:f>
              <c:numCache>
                <c:formatCode>General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workingExample!$C$12:$R$12</c:f>
              <c:numCache>
                <c:formatCode>General</c:formatCode>
                <c:ptCount val="16"/>
                <c:pt idx="0">
                  <c:v>25610.510558200283</c:v>
                </c:pt>
                <c:pt idx="1">
                  <c:v>29936.891690860873</c:v>
                </c:pt>
                <c:pt idx="2">
                  <c:v>31394.01550879666</c:v>
                </c:pt>
                <c:pt idx="3">
                  <c:v>28869.34866652677</c:v>
                </c:pt>
                <c:pt idx="4">
                  <c:v>29625.699533199135</c:v>
                </c:pt>
                <c:pt idx="5">
                  <c:v>27243.238415106076</c:v>
                </c:pt>
                <c:pt idx="6">
                  <c:v>27956.986661533221</c:v>
                </c:pt>
                <c:pt idx="7">
                  <c:v>25708.721312540918</c:v>
                </c:pt>
                <c:pt idx="8">
                  <c:v>26382.266596516245</c:v>
                </c:pt>
                <c:pt idx="9">
                  <c:v>24260.638234528411</c:v>
                </c:pt>
                <c:pt idx="10">
                  <c:v>24896.245049447163</c:v>
                </c:pt>
                <c:pt idx="11">
                  <c:v>22894.120652338646</c:v>
                </c:pt>
                <c:pt idx="12">
                  <c:v>23493.925940539531</c:v>
                </c:pt>
                <c:pt idx="13">
                  <c:v>21604.574264574265</c:v>
                </c:pt>
                <c:pt idx="14">
                  <c:v>22170.594601847919</c:v>
                </c:pt>
                <c:pt idx="15">
                  <c:v>20387.663550896199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1-44DF-BF23-2F10EC5DD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8203312"/>
        <c:axId val="498205936"/>
      </c:barChart>
      <c:catAx>
        <c:axId val="498203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X</a:t>
                </a:r>
                <a:r>
                  <a:rPr lang="nl-NL" baseline="0"/>
                  <a:t> axis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98205936"/>
        <c:crosses val="autoZero"/>
        <c:auto val="1"/>
        <c:lblAlgn val="ctr"/>
        <c:lblOffset val="100"/>
        <c:noMultiLvlLbl val="0"/>
      </c:catAx>
      <c:valAx>
        <c:axId val="49820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9820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The title1a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(workingExample!$C$12:$R$12,workingExample!$C$12:$R$12)</c:f>
              <c:numCache>
                <c:formatCode>General</c:formatCode>
                <c:ptCount val="32"/>
                <c:pt idx="0">
                  <c:v>25610.510558200283</c:v>
                </c:pt>
                <c:pt idx="1">
                  <c:v>29936.891690860873</c:v>
                </c:pt>
                <c:pt idx="2">
                  <c:v>31394.01550879666</c:v>
                </c:pt>
                <c:pt idx="3">
                  <c:v>28869.34866652677</c:v>
                </c:pt>
                <c:pt idx="4">
                  <c:v>29625.699533199135</c:v>
                </c:pt>
                <c:pt idx="5">
                  <c:v>27243.238415106076</c:v>
                </c:pt>
                <c:pt idx="6">
                  <c:v>27956.986661533221</c:v>
                </c:pt>
                <c:pt idx="7">
                  <c:v>25708.721312540918</c:v>
                </c:pt>
                <c:pt idx="8">
                  <c:v>26382.266596516245</c:v>
                </c:pt>
                <c:pt idx="9">
                  <c:v>24260.638234528411</c:v>
                </c:pt>
                <c:pt idx="10">
                  <c:v>24896.245049447163</c:v>
                </c:pt>
                <c:pt idx="11">
                  <c:v>22894.120652338646</c:v>
                </c:pt>
                <c:pt idx="12">
                  <c:v>23493.925940539531</c:v>
                </c:pt>
                <c:pt idx="13">
                  <c:v>21604.574264574265</c:v>
                </c:pt>
                <c:pt idx="14">
                  <c:v>22170.594601847919</c:v>
                </c:pt>
                <c:pt idx="15">
                  <c:v>20387.663550896199</c:v>
                </c:pt>
                <c:pt idx="16">
                  <c:v>25610.510558200283</c:v>
                </c:pt>
                <c:pt idx="17">
                  <c:v>29936.891690860873</c:v>
                </c:pt>
                <c:pt idx="18">
                  <c:v>31394.01550879666</c:v>
                </c:pt>
                <c:pt idx="19">
                  <c:v>28869.34866652677</c:v>
                </c:pt>
                <c:pt idx="20">
                  <c:v>29625.699533199135</c:v>
                </c:pt>
                <c:pt idx="21">
                  <c:v>27243.238415106076</c:v>
                </c:pt>
                <c:pt idx="22">
                  <c:v>27956.986661533221</c:v>
                </c:pt>
                <c:pt idx="23">
                  <c:v>25708.721312540918</c:v>
                </c:pt>
                <c:pt idx="24">
                  <c:v>26382.266596516245</c:v>
                </c:pt>
                <c:pt idx="25">
                  <c:v>24260.638234528411</c:v>
                </c:pt>
                <c:pt idx="26">
                  <c:v>24896.245049447163</c:v>
                </c:pt>
                <c:pt idx="27">
                  <c:v>22894.120652338646</c:v>
                </c:pt>
                <c:pt idx="28">
                  <c:v>23493.925940539531</c:v>
                </c:pt>
                <c:pt idx="29">
                  <c:v>21604.574264574265</c:v>
                </c:pt>
                <c:pt idx="30">
                  <c:v>22170.594601847919</c:v>
                </c:pt>
                <c:pt idx="31">
                  <c:v>20387.663550896199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B7-4D81-968C-8B660ACE7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7804416"/>
        <c:axId val="497804744"/>
      </c:barChart>
      <c:catAx>
        <c:axId val="49780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yaxis label1a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97804744"/>
        <c:crosses val="autoZero"/>
        <c:auto val="1"/>
        <c:lblAlgn val="ctr"/>
        <c:lblOffset val="100"/>
        <c:noMultiLvlLbl val="0"/>
      </c:catAx>
      <c:valAx>
        <c:axId val="497804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xaxis label1a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9780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The title2a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(workingExample!$C$12:$R$12,workingExample!$C$12:$R$12)</c:f>
              <c:numCache>
                <c:formatCode>General</c:formatCode>
                <c:ptCount val="32"/>
                <c:pt idx="0">
                  <c:v>25610.510558200283</c:v>
                </c:pt>
                <c:pt idx="1">
                  <c:v>29936.891690860873</c:v>
                </c:pt>
                <c:pt idx="2">
                  <c:v>31394.01550879666</c:v>
                </c:pt>
                <c:pt idx="3">
                  <c:v>28869.34866652677</c:v>
                </c:pt>
                <c:pt idx="4">
                  <c:v>29625.699533199135</c:v>
                </c:pt>
                <c:pt idx="5">
                  <c:v>27243.238415106076</c:v>
                </c:pt>
                <c:pt idx="6">
                  <c:v>27956.986661533221</c:v>
                </c:pt>
                <c:pt idx="7">
                  <c:v>25708.721312540918</c:v>
                </c:pt>
                <c:pt idx="8">
                  <c:v>26382.266596516245</c:v>
                </c:pt>
                <c:pt idx="9">
                  <c:v>24260.638234528411</c:v>
                </c:pt>
                <c:pt idx="10">
                  <c:v>24896.245049447163</c:v>
                </c:pt>
                <c:pt idx="11">
                  <c:v>22894.120652338646</c:v>
                </c:pt>
                <c:pt idx="12">
                  <c:v>23493.925940539531</c:v>
                </c:pt>
                <c:pt idx="13">
                  <c:v>21604.574264574265</c:v>
                </c:pt>
                <c:pt idx="14">
                  <c:v>22170.594601847919</c:v>
                </c:pt>
                <c:pt idx="15">
                  <c:v>20387.663550896199</c:v>
                </c:pt>
                <c:pt idx="16">
                  <c:v>25610.510558200283</c:v>
                </c:pt>
                <c:pt idx="17">
                  <c:v>29936.891690860873</c:v>
                </c:pt>
                <c:pt idx="18">
                  <c:v>31394.01550879666</c:v>
                </c:pt>
                <c:pt idx="19">
                  <c:v>28869.34866652677</c:v>
                </c:pt>
                <c:pt idx="20">
                  <c:v>29625.699533199135</c:v>
                </c:pt>
                <c:pt idx="21">
                  <c:v>27243.238415106076</c:v>
                </c:pt>
                <c:pt idx="22">
                  <c:v>27956.986661533221</c:v>
                </c:pt>
                <c:pt idx="23">
                  <c:v>25708.721312540918</c:v>
                </c:pt>
                <c:pt idx="24">
                  <c:v>26382.266596516245</c:v>
                </c:pt>
                <c:pt idx="25">
                  <c:v>24260.638234528411</c:v>
                </c:pt>
                <c:pt idx="26">
                  <c:v>24896.245049447163</c:v>
                </c:pt>
                <c:pt idx="27">
                  <c:v>22894.120652338646</c:v>
                </c:pt>
                <c:pt idx="28">
                  <c:v>23493.925940539531</c:v>
                </c:pt>
                <c:pt idx="29">
                  <c:v>21604.574264574265</c:v>
                </c:pt>
                <c:pt idx="30">
                  <c:v>22170.594601847919</c:v>
                </c:pt>
                <c:pt idx="31">
                  <c:v>20387.663550896199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AD-4160-940F-3FF792798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3501208"/>
        <c:axId val="823501864"/>
      </c:barChart>
      <c:catAx>
        <c:axId val="823501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yaxis label2a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23501864"/>
        <c:crosses val="autoZero"/>
        <c:auto val="1"/>
        <c:lblAlgn val="ctr"/>
        <c:lblOffset val="100"/>
        <c:noMultiLvlLbl val="0"/>
      </c:catAx>
      <c:valAx>
        <c:axId val="82350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xaxis label2a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23501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The title3a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(workingExample!$C$12:$R$12,workingExample!$C$12:$R$12)</c:f>
              <c:numCache>
                <c:formatCode>General</c:formatCode>
                <c:ptCount val="32"/>
                <c:pt idx="0">
                  <c:v>25610.510558200283</c:v>
                </c:pt>
                <c:pt idx="1">
                  <c:v>29936.891690860873</c:v>
                </c:pt>
                <c:pt idx="2">
                  <c:v>31394.01550879666</c:v>
                </c:pt>
                <c:pt idx="3">
                  <c:v>28869.34866652677</c:v>
                </c:pt>
                <c:pt idx="4">
                  <c:v>29625.699533199135</c:v>
                </c:pt>
                <c:pt idx="5">
                  <c:v>27243.238415106076</c:v>
                </c:pt>
                <c:pt idx="6">
                  <c:v>27956.986661533221</c:v>
                </c:pt>
                <c:pt idx="7">
                  <c:v>25708.721312540918</c:v>
                </c:pt>
                <c:pt idx="8">
                  <c:v>26382.266596516245</c:v>
                </c:pt>
                <c:pt idx="9">
                  <c:v>24260.638234528411</c:v>
                </c:pt>
                <c:pt idx="10">
                  <c:v>24896.245049447163</c:v>
                </c:pt>
                <c:pt idx="11">
                  <c:v>22894.120652338646</c:v>
                </c:pt>
                <c:pt idx="12">
                  <c:v>23493.925940539531</c:v>
                </c:pt>
                <c:pt idx="13">
                  <c:v>21604.574264574265</c:v>
                </c:pt>
                <c:pt idx="14">
                  <c:v>22170.594601847919</c:v>
                </c:pt>
                <c:pt idx="15">
                  <c:v>20387.663550896199</c:v>
                </c:pt>
                <c:pt idx="16">
                  <c:v>25610.510558200283</c:v>
                </c:pt>
                <c:pt idx="17">
                  <c:v>29936.891690860873</c:v>
                </c:pt>
                <c:pt idx="18">
                  <c:v>31394.01550879666</c:v>
                </c:pt>
                <c:pt idx="19">
                  <c:v>28869.34866652677</c:v>
                </c:pt>
                <c:pt idx="20">
                  <c:v>29625.699533199135</c:v>
                </c:pt>
                <c:pt idx="21">
                  <c:v>27243.238415106076</c:v>
                </c:pt>
                <c:pt idx="22">
                  <c:v>27956.986661533221</c:v>
                </c:pt>
                <c:pt idx="23">
                  <c:v>25708.721312540918</c:v>
                </c:pt>
                <c:pt idx="24">
                  <c:v>26382.266596516245</c:v>
                </c:pt>
                <c:pt idx="25">
                  <c:v>24260.638234528411</c:v>
                </c:pt>
                <c:pt idx="26">
                  <c:v>24896.245049447163</c:v>
                </c:pt>
                <c:pt idx="27">
                  <c:v>22894.120652338646</c:v>
                </c:pt>
                <c:pt idx="28">
                  <c:v>23493.925940539531</c:v>
                </c:pt>
                <c:pt idx="29">
                  <c:v>21604.574264574265</c:v>
                </c:pt>
                <c:pt idx="30">
                  <c:v>22170.594601847919</c:v>
                </c:pt>
                <c:pt idx="31">
                  <c:v>20387.663550896199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C1-4A9A-85E3-BF993829D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163976"/>
        <c:axId val="504166272"/>
      </c:barChart>
      <c:catAx>
        <c:axId val="504163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yaxis label3a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04166272"/>
        <c:crosses val="autoZero"/>
        <c:auto val="1"/>
        <c:lblAlgn val="ctr"/>
        <c:lblOffset val="100"/>
        <c:noMultiLvlLbl val="0"/>
      </c:catAx>
      <c:valAx>
        <c:axId val="50416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xaxis label3a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0416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The title4a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(workingExample!$C$12:$R$12,workingExample!$C$12:$R$12)</c:f>
              <c:numCache>
                <c:formatCode>General</c:formatCode>
                <c:ptCount val="32"/>
                <c:pt idx="0">
                  <c:v>25610.510558200283</c:v>
                </c:pt>
                <c:pt idx="1">
                  <c:v>29936.891690860873</c:v>
                </c:pt>
                <c:pt idx="2">
                  <c:v>31394.01550879666</c:v>
                </c:pt>
                <c:pt idx="3">
                  <c:v>28869.34866652677</c:v>
                </c:pt>
                <c:pt idx="4">
                  <c:v>29625.699533199135</c:v>
                </c:pt>
                <c:pt idx="5">
                  <c:v>27243.238415106076</c:v>
                </c:pt>
                <c:pt idx="6">
                  <c:v>27956.986661533221</c:v>
                </c:pt>
                <c:pt idx="7">
                  <c:v>25708.721312540918</c:v>
                </c:pt>
                <c:pt idx="8">
                  <c:v>26382.266596516245</c:v>
                </c:pt>
                <c:pt idx="9">
                  <c:v>24260.638234528411</c:v>
                </c:pt>
                <c:pt idx="10">
                  <c:v>24896.245049447163</c:v>
                </c:pt>
                <c:pt idx="11">
                  <c:v>22894.120652338646</c:v>
                </c:pt>
                <c:pt idx="12">
                  <c:v>23493.925940539531</c:v>
                </c:pt>
                <c:pt idx="13">
                  <c:v>21604.574264574265</c:v>
                </c:pt>
                <c:pt idx="14">
                  <c:v>22170.594601847919</c:v>
                </c:pt>
                <c:pt idx="15">
                  <c:v>20387.663550896199</c:v>
                </c:pt>
                <c:pt idx="16">
                  <c:v>25610.510558200283</c:v>
                </c:pt>
                <c:pt idx="17">
                  <c:v>29936.891690860873</c:v>
                </c:pt>
                <c:pt idx="18">
                  <c:v>31394.01550879666</c:v>
                </c:pt>
                <c:pt idx="19">
                  <c:v>28869.34866652677</c:v>
                </c:pt>
                <c:pt idx="20">
                  <c:v>29625.699533199135</c:v>
                </c:pt>
                <c:pt idx="21">
                  <c:v>27243.238415106076</c:v>
                </c:pt>
                <c:pt idx="22">
                  <c:v>27956.986661533221</c:v>
                </c:pt>
                <c:pt idx="23">
                  <c:v>25708.721312540918</c:v>
                </c:pt>
                <c:pt idx="24">
                  <c:v>26382.266596516245</c:v>
                </c:pt>
                <c:pt idx="25">
                  <c:v>24260.638234528411</c:v>
                </c:pt>
                <c:pt idx="26">
                  <c:v>24896.245049447163</c:v>
                </c:pt>
                <c:pt idx="27">
                  <c:v>22894.120652338646</c:v>
                </c:pt>
                <c:pt idx="28">
                  <c:v>23493.925940539531</c:v>
                </c:pt>
                <c:pt idx="29">
                  <c:v>21604.574264574265</c:v>
                </c:pt>
                <c:pt idx="30">
                  <c:v>22170.594601847919</c:v>
                </c:pt>
                <c:pt idx="31">
                  <c:v>20387.663550896199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10-4253-ABE1-8B77FD23D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055176"/>
        <c:axId val="504055832"/>
      </c:barChart>
      <c:catAx>
        <c:axId val="504055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yaxis label4a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04055832"/>
        <c:crosses val="autoZero"/>
        <c:auto val="1"/>
        <c:lblAlgn val="ctr"/>
        <c:lblOffset val="100"/>
        <c:noMultiLvlLbl val="0"/>
      </c:catAx>
      <c:valAx>
        <c:axId val="50405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xaxis label4a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04055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The title5a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(workingExample!$C$12:$R$12,workingExample!$C$12:$R$12)</c:f>
              <c:numCache>
                <c:formatCode>General</c:formatCode>
                <c:ptCount val="32"/>
                <c:pt idx="0">
                  <c:v>25610.510558200283</c:v>
                </c:pt>
                <c:pt idx="1">
                  <c:v>29936.891690860873</c:v>
                </c:pt>
                <c:pt idx="2">
                  <c:v>31394.01550879666</c:v>
                </c:pt>
                <c:pt idx="3">
                  <c:v>28869.34866652677</c:v>
                </c:pt>
                <c:pt idx="4">
                  <c:v>29625.699533199135</c:v>
                </c:pt>
                <c:pt idx="5">
                  <c:v>27243.238415106076</c:v>
                </c:pt>
                <c:pt idx="6">
                  <c:v>27956.986661533221</c:v>
                </c:pt>
                <c:pt idx="7">
                  <c:v>25708.721312540918</c:v>
                </c:pt>
                <c:pt idx="8">
                  <c:v>26382.266596516245</c:v>
                </c:pt>
                <c:pt idx="9">
                  <c:v>24260.638234528411</c:v>
                </c:pt>
                <c:pt idx="10">
                  <c:v>24896.245049447163</c:v>
                </c:pt>
                <c:pt idx="11">
                  <c:v>22894.120652338646</c:v>
                </c:pt>
                <c:pt idx="12">
                  <c:v>23493.925940539531</c:v>
                </c:pt>
                <c:pt idx="13">
                  <c:v>21604.574264574265</c:v>
                </c:pt>
                <c:pt idx="14">
                  <c:v>22170.594601847919</c:v>
                </c:pt>
                <c:pt idx="15">
                  <c:v>20387.663550896199</c:v>
                </c:pt>
                <c:pt idx="16">
                  <c:v>25610.510558200283</c:v>
                </c:pt>
                <c:pt idx="17">
                  <c:v>29936.891690860873</c:v>
                </c:pt>
                <c:pt idx="18">
                  <c:v>31394.01550879666</c:v>
                </c:pt>
                <c:pt idx="19">
                  <c:v>28869.34866652677</c:v>
                </c:pt>
                <c:pt idx="20">
                  <c:v>29625.699533199135</c:v>
                </c:pt>
                <c:pt idx="21">
                  <c:v>27243.238415106076</c:v>
                </c:pt>
                <c:pt idx="22">
                  <c:v>27956.986661533221</c:v>
                </c:pt>
                <c:pt idx="23">
                  <c:v>25708.721312540918</c:v>
                </c:pt>
                <c:pt idx="24">
                  <c:v>26382.266596516245</c:v>
                </c:pt>
                <c:pt idx="25">
                  <c:v>24260.638234528411</c:v>
                </c:pt>
                <c:pt idx="26">
                  <c:v>24896.245049447163</c:v>
                </c:pt>
                <c:pt idx="27">
                  <c:v>22894.120652338646</c:v>
                </c:pt>
                <c:pt idx="28">
                  <c:v>23493.925940539531</c:v>
                </c:pt>
                <c:pt idx="29">
                  <c:v>21604.574264574265</c:v>
                </c:pt>
                <c:pt idx="30">
                  <c:v>22170.594601847919</c:v>
                </c:pt>
                <c:pt idx="31">
                  <c:v>20387.663550896199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8-4E1C-AEFB-2E0C12E85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1377672"/>
        <c:axId val="491378328"/>
      </c:barChart>
      <c:catAx>
        <c:axId val="491377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yaxis label5a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91378328"/>
        <c:crosses val="autoZero"/>
        <c:auto val="1"/>
        <c:lblAlgn val="ctr"/>
        <c:lblOffset val="100"/>
        <c:noMultiLvlLbl val="0"/>
      </c:catAx>
      <c:valAx>
        <c:axId val="49137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xaxis label5a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91377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The title6a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(workingExample!$C$12:$R$12,workingExample!$C$12:$R$12)</c:f>
              <c:numCache>
                <c:formatCode>General</c:formatCode>
                <c:ptCount val="32"/>
                <c:pt idx="0">
                  <c:v>25610.510558200283</c:v>
                </c:pt>
                <c:pt idx="1">
                  <c:v>29936.891690860873</c:v>
                </c:pt>
                <c:pt idx="2">
                  <c:v>31394.01550879666</c:v>
                </c:pt>
                <c:pt idx="3">
                  <c:v>28869.34866652677</c:v>
                </c:pt>
                <c:pt idx="4">
                  <c:v>29625.699533199135</c:v>
                </c:pt>
                <c:pt idx="5">
                  <c:v>27243.238415106076</c:v>
                </c:pt>
                <c:pt idx="6">
                  <c:v>27956.986661533221</c:v>
                </c:pt>
                <c:pt idx="7">
                  <c:v>25708.721312540918</c:v>
                </c:pt>
                <c:pt idx="8">
                  <c:v>26382.266596516245</c:v>
                </c:pt>
                <c:pt idx="9">
                  <c:v>24260.638234528411</c:v>
                </c:pt>
                <c:pt idx="10">
                  <c:v>24896.245049447163</c:v>
                </c:pt>
                <c:pt idx="11">
                  <c:v>22894.120652338646</c:v>
                </c:pt>
                <c:pt idx="12">
                  <c:v>23493.925940539531</c:v>
                </c:pt>
                <c:pt idx="13">
                  <c:v>21604.574264574265</c:v>
                </c:pt>
                <c:pt idx="14">
                  <c:v>22170.594601847919</c:v>
                </c:pt>
                <c:pt idx="15">
                  <c:v>20387.663550896199</c:v>
                </c:pt>
                <c:pt idx="16">
                  <c:v>25610.510558200283</c:v>
                </c:pt>
                <c:pt idx="17">
                  <c:v>29936.891690860873</c:v>
                </c:pt>
                <c:pt idx="18">
                  <c:v>31394.01550879666</c:v>
                </c:pt>
                <c:pt idx="19">
                  <c:v>28869.34866652677</c:v>
                </c:pt>
                <c:pt idx="20">
                  <c:v>29625.699533199135</c:v>
                </c:pt>
                <c:pt idx="21">
                  <c:v>27243.238415106076</c:v>
                </c:pt>
                <c:pt idx="22">
                  <c:v>27956.986661533221</c:v>
                </c:pt>
                <c:pt idx="23">
                  <c:v>25708.721312540918</c:v>
                </c:pt>
                <c:pt idx="24">
                  <c:v>26382.266596516245</c:v>
                </c:pt>
                <c:pt idx="25">
                  <c:v>24260.638234528411</c:v>
                </c:pt>
                <c:pt idx="26">
                  <c:v>24896.245049447163</c:v>
                </c:pt>
                <c:pt idx="27">
                  <c:v>22894.120652338646</c:v>
                </c:pt>
                <c:pt idx="28">
                  <c:v>23493.925940539531</c:v>
                </c:pt>
                <c:pt idx="29">
                  <c:v>21604.574264574265</c:v>
                </c:pt>
                <c:pt idx="30">
                  <c:v>22170.594601847919</c:v>
                </c:pt>
                <c:pt idx="31">
                  <c:v>20387.663550896199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B-4EAC-97B0-67DD95B3A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38752"/>
        <c:axId val="399839080"/>
      </c:barChart>
      <c:catAx>
        <c:axId val="39983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yaxis label6a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99839080"/>
        <c:crosses val="autoZero"/>
        <c:auto val="1"/>
        <c:lblAlgn val="ctr"/>
        <c:lblOffset val="100"/>
        <c:noMultiLvlLbl val="0"/>
      </c:catAx>
      <c:valAx>
        <c:axId val="39983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xaxis label6a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9983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21</xdr:row>
          <xdr:rowOff>9525</xdr:rowOff>
        </xdr:from>
        <xdr:to>
          <xdr:col>0</xdr:col>
          <xdr:colOff>2009775</xdr:colOff>
          <xdr:row>26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6 datasets and plot graphs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24</xdr:row>
      <xdr:rowOff>0</xdr:rowOff>
    </xdr:from>
    <xdr:to>
      <xdr:col>10</xdr:col>
      <xdr:colOff>304800</xdr:colOff>
      <xdr:row>38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8</xdr:col>
      <xdr:colOff>0</xdr:colOff>
      <xdr:row>17</xdr:row>
      <xdr:rowOff>0</xdr:rowOff>
    </xdr:to>
    <xdr:graphicFrame macro="">
      <xdr:nvGraphicFramePr>
        <xdr:cNvPr id="164" name="Chart 163">
          <a:extLst>
            <a:ext uri="{FF2B5EF4-FFF2-40B4-BE49-F238E27FC236}">
              <a16:creationId xmlns:a16="http://schemas.microsoft.com/office/drawing/2014/main" id="{44C38EAE-F029-4EFA-AFAD-9DADC632A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17</xdr:col>
      <xdr:colOff>0</xdr:colOff>
      <xdr:row>17</xdr:row>
      <xdr:rowOff>0</xdr:rowOff>
    </xdr:to>
    <xdr:graphicFrame macro="">
      <xdr:nvGraphicFramePr>
        <xdr:cNvPr id="165" name="Chart 164">
          <a:extLst>
            <a:ext uri="{FF2B5EF4-FFF2-40B4-BE49-F238E27FC236}">
              <a16:creationId xmlns:a16="http://schemas.microsoft.com/office/drawing/2014/main" id="{94DB45A5-33D3-4020-8602-FF92EDEFA1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166" name="Chart 165">
          <a:extLst>
            <a:ext uri="{FF2B5EF4-FFF2-40B4-BE49-F238E27FC236}">
              <a16:creationId xmlns:a16="http://schemas.microsoft.com/office/drawing/2014/main" id="{B1F45D3C-A8D1-4F75-AD21-AAC2D5AB2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17</xdr:col>
      <xdr:colOff>0</xdr:colOff>
      <xdr:row>34</xdr:row>
      <xdr:rowOff>0</xdr:rowOff>
    </xdr:to>
    <xdr:graphicFrame macro="">
      <xdr:nvGraphicFramePr>
        <xdr:cNvPr id="167" name="Chart 166">
          <a:extLst>
            <a:ext uri="{FF2B5EF4-FFF2-40B4-BE49-F238E27FC236}">
              <a16:creationId xmlns:a16="http://schemas.microsoft.com/office/drawing/2014/main" id="{BC2CF2A4-CA30-42A3-A834-FD97331477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0</xdr:colOff>
      <xdr:row>51</xdr:row>
      <xdr:rowOff>0</xdr:rowOff>
    </xdr:to>
    <xdr:graphicFrame macro="">
      <xdr:nvGraphicFramePr>
        <xdr:cNvPr id="168" name="Chart 167">
          <a:extLst>
            <a:ext uri="{FF2B5EF4-FFF2-40B4-BE49-F238E27FC236}">
              <a16:creationId xmlns:a16="http://schemas.microsoft.com/office/drawing/2014/main" id="{5B285934-A83A-4460-B6EB-3997368035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35</xdr:row>
      <xdr:rowOff>0</xdr:rowOff>
    </xdr:from>
    <xdr:to>
      <xdr:col>17</xdr:col>
      <xdr:colOff>0</xdr:colOff>
      <xdr:row>51</xdr:row>
      <xdr:rowOff>0</xdr:rowOff>
    </xdr:to>
    <xdr:graphicFrame macro="">
      <xdr:nvGraphicFramePr>
        <xdr:cNvPr id="169" name="Chart 168">
          <a:extLst>
            <a:ext uri="{FF2B5EF4-FFF2-40B4-BE49-F238E27FC236}">
              <a16:creationId xmlns:a16="http://schemas.microsoft.com/office/drawing/2014/main" id="{A5D76619-A715-41C2-80A7-50E3A1CCE7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GG_Colors">
      <a:dk1>
        <a:srgbClr val="000000"/>
      </a:dk1>
      <a:lt1>
        <a:srgbClr val="FFFFFF"/>
      </a:lt1>
      <a:dk2>
        <a:srgbClr val="458267"/>
      </a:dk2>
      <a:lt2>
        <a:srgbClr val="6E96A9"/>
      </a:lt2>
      <a:accent1>
        <a:srgbClr val="005375"/>
      </a:accent1>
      <a:accent2>
        <a:srgbClr val="222223"/>
      </a:accent2>
      <a:accent3>
        <a:srgbClr val="CCCC00"/>
      </a:accent3>
      <a:accent4>
        <a:srgbClr val="DE9151"/>
      </a:accent4>
      <a:accent5>
        <a:srgbClr val="C4421B"/>
      </a:accent5>
      <a:accent6>
        <a:srgbClr val="FFFFFF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B3353-89D9-41AF-A14C-5C1FDE2BA266}">
  <sheetPr codeName="Sheet6"/>
  <dimension ref="A1:S19"/>
  <sheetViews>
    <sheetView workbookViewId="0">
      <selection activeCell="C15" sqref="C15"/>
    </sheetView>
  </sheetViews>
  <sheetFormatPr defaultRowHeight="15" x14ac:dyDescent="0.25"/>
  <cols>
    <col min="1" max="1" width="33.28515625" style="3" customWidth="1"/>
    <col min="2" max="2" width="41.42578125" style="3" customWidth="1"/>
    <col min="3" max="3" width="10.85546875" style="3" bestFit="1" customWidth="1"/>
    <col min="4" max="16384" width="9.140625" style="3"/>
  </cols>
  <sheetData>
    <row r="1" spans="1:19" x14ac:dyDescent="0.25">
      <c r="A1" s="4" t="s">
        <v>14</v>
      </c>
      <c r="B1" s="3" t="s">
        <v>1</v>
      </c>
      <c r="C1" s="3">
        <v>2023</v>
      </c>
      <c r="D1" s="3">
        <v>2024</v>
      </c>
      <c r="E1" s="3">
        <v>2025</v>
      </c>
      <c r="F1" s="3">
        <v>2026</v>
      </c>
      <c r="G1" s="3">
        <v>2027</v>
      </c>
      <c r="H1" s="3">
        <v>2028</v>
      </c>
      <c r="I1" s="3">
        <v>2029</v>
      </c>
      <c r="J1" s="3">
        <v>2030</v>
      </c>
      <c r="K1" s="3">
        <v>2031</v>
      </c>
      <c r="L1" s="3">
        <v>2032</v>
      </c>
      <c r="M1" s="3">
        <v>2033</v>
      </c>
      <c r="N1" s="3">
        <v>2034</v>
      </c>
      <c r="O1" s="3">
        <v>2035</v>
      </c>
      <c r="P1" s="3">
        <v>2036</v>
      </c>
      <c r="Q1" s="3">
        <v>2037</v>
      </c>
      <c r="R1" s="3">
        <v>2038</v>
      </c>
    </row>
    <row r="2" spans="1:19" x14ac:dyDescent="0.25">
      <c r="A2" s="4" t="s">
        <v>19</v>
      </c>
      <c r="B2" s="3" t="s">
        <v>0</v>
      </c>
      <c r="C2" s="3">
        <v>2023</v>
      </c>
    </row>
    <row r="3" spans="1:19" x14ac:dyDescent="0.25">
      <c r="A3" s="4" t="s">
        <v>17</v>
      </c>
      <c r="B3" s="3" t="s">
        <v>3</v>
      </c>
      <c r="C3" s="3">
        <v>0.02</v>
      </c>
    </row>
    <row r="4" spans="1:19" x14ac:dyDescent="0.25">
      <c r="A4" s="3" t="s">
        <v>18</v>
      </c>
      <c r="B4" s="3" t="s">
        <v>0</v>
      </c>
      <c r="C4" s="3">
        <f ca="1">YEAR(TODAY())</f>
        <v>2019</v>
      </c>
    </row>
    <row r="5" spans="1:19" x14ac:dyDescent="0.25">
      <c r="A5" s="4" t="s">
        <v>16</v>
      </c>
      <c r="B5" s="3" t="s">
        <v>2</v>
      </c>
      <c r="C5" s="3">
        <v>5</v>
      </c>
    </row>
    <row r="6" spans="1:19" x14ac:dyDescent="0.25">
      <c r="A6" s="4" t="s">
        <v>15</v>
      </c>
      <c r="B6" s="3" t="s">
        <v>0</v>
      </c>
      <c r="C6" s="2">
        <v>2023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s="4" t="s">
        <v>9</v>
      </c>
      <c r="B7" s="3" t="s">
        <v>0</v>
      </c>
      <c r="C7" s="3">
        <v>2038</v>
      </c>
    </row>
    <row r="8" spans="1:19" x14ac:dyDescent="0.25">
      <c r="A8" s="4" t="s">
        <v>20</v>
      </c>
      <c r="B8" s="3" t="s">
        <v>4</v>
      </c>
      <c r="C8" s="1">
        <v>23660.153037397082</v>
      </c>
      <c r="D8" s="1">
        <v>28470.503412701597</v>
      </c>
      <c r="E8" s="1">
        <v>30734.378546452317</v>
      </c>
      <c r="F8" s="1">
        <v>29094.016484492178</v>
      </c>
      <c r="G8" s="1">
        <v>30734.378546452317</v>
      </c>
      <c r="H8" s="1">
        <v>29094.016484492178</v>
      </c>
      <c r="I8" s="1">
        <v>30734.378546452317</v>
      </c>
      <c r="J8" s="1">
        <v>29094.016484492178</v>
      </c>
      <c r="K8" s="1">
        <v>30734.378546452317</v>
      </c>
      <c r="L8" s="3">
        <v>29094.016484492178</v>
      </c>
      <c r="M8" s="3">
        <v>30734.378546452317</v>
      </c>
      <c r="N8" s="1">
        <v>29094.016484492178</v>
      </c>
      <c r="O8" s="1">
        <v>30734.378546452317</v>
      </c>
      <c r="P8" s="1">
        <v>29094.016484492178</v>
      </c>
      <c r="Q8" s="1">
        <v>30734.378546452317</v>
      </c>
      <c r="R8" s="1">
        <v>29094.016484492178</v>
      </c>
    </row>
    <row r="9" spans="1:19" x14ac:dyDescent="0.25">
      <c r="A9" s="5" t="s">
        <v>12</v>
      </c>
      <c r="B9" s="3" t="s">
        <v>11</v>
      </c>
      <c r="C9" s="3">
        <v>1.08243216</v>
      </c>
      <c r="D9" s="3">
        <v>1.1040808032</v>
      </c>
      <c r="E9" s="3">
        <v>1.1261624192640001</v>
      </c>
      <c r="F9" s="3">
        <v>1.14868566764928</v>
      </c>
      <c r="G9" s="3">
        <v>1.1716593810022657</v>
      </c>
      <c r="H9" s="3">
        <v>1.1950925686223111</v>
      </c>
      <c r="I9" s="3">
        <v>1.2189944199947573</v>
      </c>
      <c r="J9" s="3">
        <v>1.2433743083946525</v>
      </c>
      <c r="K9" s="3">
        <v>1.2682417945625455</v>
      </c>
      <c r="L9" s="3">
        <v>1.2936066304537965</v>
      </c>
      <c r="M9" s="3">
        <v>1.3194787630628724</v>
      </c>
      <c r="N9" s="3">
        <v>1.3458683383241299</v>
      </c>
      <c r="O9" s="3">
        <v>1.3727857050906125</v>
      </c>
      <c r="P9" s="3">
        <v>1.4002414191924248</v>
      </c>
      <c r="Q9" s="3">
        <v>1.4282462475762734</v>
      </c>
      <c r="R9" s="3">
        <v>1.4568111725277988</v>
      </c>
    </row>
    <row r="10" spans="1:19" x14ac:dyDescent="0.25">
      <c r="A10" s="5" t="s">
        <v>10</v>
      </c>
      <c r="C10" s="3">
        <v>1</v>
      </c>
      <c r="D10" s="3">
        <v>0.95238095238095233</v>
      </c>
      <c r="E10" s="3">
        <v>0.90702947845804982</v>
      </c>
      <c r="F10" s="3">
        <v>0.86383759853147601</v>
      </c>
      <c r="G10" s="3">
        <v>0.82270247479188185</v>
      </c>
      <c r="H10" s="3">
        <v>0.78352616646845885</v>
      </c>
      <c r="I10" s="3">
        <v>0.74621539663662739</v>
      </c>
      <c r="J10" s="3">
        <v>0.71068133013012136</v>
      </c>
      <c r="K10" s="3">
        <v>0.676839362028687</v>
      </c>
      <c r="L10" s="3">
        <v>0.64460891621779715</v>
      </c>
      <c r="M10" s="3">
        <v>0.6139132535407591</v>
      </c>
      <c r="N10" s="3">
        <v>0.58467928908643729</v>
      </c>
      <c r="O10" s="3">
        <v>0.55683741817755927</v>
      </c>
      <c r="P10" s="3">
        <v>0.53032135064529451</v>
      </c>
      <c r="Q10" s="3">
        <v>0.50506795299551854</v>
      </c>
      <c r="R10" s="3">
        <v>0.48101709809096999</v>
      </c>
    </row>
    <row r="11" spans="1:19" x14ac:dyDescent="0.25">
      <c r="A11" s="3" t="s">
        <v>21</v>
      </c>
      <c r="B11" s="3" t="s">
        <v>5</v>
      </c>
      <c r="C11" s="3">
        <v>25610.510558200283</v>
      </c>
      <c r="D11" s="3">
        <v>31433.73627540392</v>
      </c>
      <c r="E11" s="3">
        <v>34611.902098448321</v>
      </c>
      <c r="F11" s="3">
        <v>33419.879750088054</v>
      </c>
      <c r="G11" s="3">
        <v>36010.222943225635</v>
      </c>
      <c r="H11" s="3">
        <v>34770.042891991616</v>
      </c>
      <c r="I11" s="3">
        <v>37465.035950131954</v>
      </c>
      <c r="J11" s="3">
        <v>36174.752624828077</v>
      </c>
      <c r="K11" s="3">
        <v>38978.623402517282</v>
      </c>
      <c r="L11" s="3">
        <v>37636.212630871138</v>
      </c>
      <c r="M11" s="3">
        <v>40553.359787978981</v>
      </c>
      <c r="N11" s="3">
        <v>39156.715621158328</v>
      </c>
      <c r="O11" s="3">
        <v>42191.715523413339</v>
      </c>
      <c r="P11" s="3">
        <v>40738.646932253134</v>
      </c>
      <c r="Q11" s="3">
        <v>43896.260830559244</v>
      </c>
      <c r="R11" s="3">
        <v>42384.488268316156</v>
      </c>
    </row>
    <row r="12" spans="1:19" x14ac:dyDescent="0.25">
      <c r="A12" s="3" t="s">
        <v>22</v>
      </c>
      <c r="C12" s="6">
        <v>25610.510558200283</v>
      </c>
      <c r="D12" s="6">
        <v>29936.891690860873</v>
      </c>
      <c r="E12" s="6">
        <v>31394.01550879666</v>
      </c>
      <c r="F12" s="6">
        <v>28869.34866652677</v>
      </c>
      <c r="G12" s="6">
        <v>29625.699533199135</v>
      </c>
      <c r="H12" s="6">
        <v>27243.238415106076</v>
      </c>
      <c r="I12" s="6">
        <v>27956.986661533221</v>
      </c>
      <c r="J12" s="6">
        <v>25708.721312540918</v>
      </c>
      <c r="K12" s="6">
        <v>26382.266596516245</v>
      </c>
      <c r="L12" s="6">
        <v>24260.638234528411</v>
      </c>
      <c r="M12" s="6">
        <v>24896.245049447163</v>
      </c>
      <c r="N12" s="6">
        <v>22894.120652338646</v>
      </c>
      <c r="O12" s="6">
        <v>23493.925940539531</v>
      </c>
      <c r="P12" s="6">
        <v>21604.574264574265</v>
      </c>
      <c r="Q12" s="6">
        <v>22170.594601847919</v>
      </c>
      <c r="R12" s="6">
        <v>20387.663550896199</v>
      </c>
    </row>
    <row r="13" spans="1:19" x14ac:dyDescent="0.25">
      <c r="A13" s="3" t="s">
        <v>13</v>
      </c>
      <c r="C13" s="3">
        <v>412435.44123745238</v>
      </c>
    </row>
    <row r="16" spans="1:19" x14ac:dyDescent="0.25">
      <c r="B16" s="3" t="s">
        <v>6</v>
      </c>
    </row>
    <row r="17" spans="2:18" x14ac:dyDescent="0.25">
      <c r="B17" s="3" t="s">
        <v>6</v>
      </c>
      <c r="C17" s="3">
        <v>23660.153037397082</v>
      </c>
      <c r="D17" s="3">
        <v>28470.503412701597</v>
      </c>
      <c r="E17" s="3">
        <v>30734.378546452317</v>
      </c>
      <c r="F17" s="3">
        <v>29094.016484492178</v>
      </c>
      <c r="G17" s="3">
        <v>30734.378546452317</v>
      </c>
      <c r="H17" s="3">
        <v>29094.016484492178</v>
      </c>
      <c r="I17" s="3">
        <v>30734.378546452317</v>
      </c>
      <c r="J17" s="3">
        <v>29094.016484492178</v>
      </c>
      <c r="K17" s="3">
        <v>30734.378546452317</v>
      </c>
      <c r="L17" s="3">
        <v>29094.016484492178</v>
      </c>
      <c r="M17" s="3">
        <v>30734.378546452317</v>
      </c>
      <c r="N17" s="3">
        <v>29094.016484492178</v>
      </c>
      <c r="O17" s="3">
        <v>30734.378546452317</v>
      </c>
      <c r="P17" s="3">
        <v>29094.016484492178</v>
      </c>
      <c r="Q17" s="3">
        <v>30734.378546452317</v>
      </c>
      <c r="R17" s="3">
        <v>29094.016484492178</v>
      </c>
    </row>
    <row r="18" spans="2:18" x14ac:dyDescent="0.25">
      <c r="B18" s="3" t="s">
        <v>7</v>
      </c>
    </row>
    <row r="19" spans="2:18" x14ac:dyDescent="0.25">
      <c r="B19" s="3" t="s">
        <v>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lStart">
                <anchor moveWithCells="1" sizeWithCells="1">
                  <from>
                    <xdr:col>0</xdr:col>
                    <xdr:colOff>171450</xdr:colOff>
                    <xdr:row>21</xdr:row>
                    <xdr:rowOff>9525</xdr:rowOff>
                  </from>
                  <to>
                    <xdr:col>0</xdr:col>
                    <xdr:colOff>2009775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E0F-BB46-4363-81BE-E74A1B02EECA}">
  <sheetPr codeName="Sheet5"/>
  <dimension ref="A1"/>
  <sheetViews>
    <sheetView tabSelected="1" workbookViewId="0">
      <selection activeCell="C1" sqref="C1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0671978934554F994F844B91D26D8C" ma:contentTypeVersion="" ma:contentTypeDescription="Create a new document." ma:contentTypeScope="" ma:versionID="a8c03b46032f4503c87882a02569f7a5">
  <xsd:schema xmlns:xsd="http://www.w3.org/2001/XMLSchema" xmlns:xs="http://www.w3.org/2001/XMLSchema" xmlns:p="http://schemas.microsoft.com/office/2006/metadata/properties" xmlns:ns2="d7d6229b-5af5-45a4-b15c-0a5909a409bf" xmlns:ns3="1c1b9068-be8c-448c-9011-fe22ae1a7671" xmlns:ns4="44c056e9-3851-4623-a034-5a66fc66b896" targetNamespace="http://schemas.microsoft.com/office/2006/metadata/properties" ma:root="true" ma:fieldsID="711cecdaf6d5a5d3be760fb505fda077" ns2:_="" ns3:_="" ns4:_="">
    <xsd:import namespace="d7d6229b-5af5-45a4-b15c-0a5909a409bf"/>
    <xsd:import namespace="1c1b9068-be8c-448c-9011-fe22ae1a7671"/>
    <xsd:import namespace="44c056e9-3851-4623-a034-5a66fc66b896"/>
    <xsd:element name="properties">
      <xsd:complexType>
        <xsd:sequence>
          <xsd:element name="documentManagement">
            <xsd:complexType>
              <xsd:all>
                <xsd:element ref="ns3:TaxKeywordTaxHTField" minOccurs="0"/>
                <xsd:element ref="ns2:TaxCatchAll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d6229b-5af5-45a4-b15c-0a5909a409bf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733c3119-3449-4e8a-ab70-67f69c01a755}" ma:internalName="TaxCatchAll" ma:showField="CatchAllData" ma:web="d7d6229b-5af5-45a4-b15c-0a5909a409b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1b9068-be8c-448c-9011-fe22ae1a7671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9" nillable="true" ma:taxonomy="true" ma:internalName="TaxKeywordTaxHTField" ma:taxonomyFieldName="TaxKeyword" ma:displayName="Enterprise Keywords" ma:fieldId="{23f27201-bee3-471e-b2e7-b64fd8b7ca38}" ma:taxonomyMulti="true" ma:sspId="6c4ad10e-d878-419e-9615-67bae02c83fe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c056e9-3851-4623-a034-5a66fc66b896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865C0A-C95F-41B2-85F7-1B20CAD2964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4E18E80-1DC6-46E7-B248-366EE6E9FC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d6229b-5af5-45a4-b15c-0a5909a409bf"/>
    <ds:schemaRef ds:uri="1c1b9068-be8c-448c-9011-fe22ae1a7671"/>
    <ds:schemaRef ds:uri="44c056e9-3851-4623-a034-5a66fc66b89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workingExample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Green Giraffe</dc:creator>
  <cp:lastModifiedBy>a</cp:lastModifiedBy>
  <dcterms:created xsi:type="dcterms:W3CDTF">2016-05-19T07:33:45Z</dcterms:created>
  <dcterms:modified xsi:type="dcterms:W3CDTF">2019-03-05T17:38:42Z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0x010100260671978934554F994F844B91D26D8C</vt:lpwstr>
  </property>
</Properties>
</file>